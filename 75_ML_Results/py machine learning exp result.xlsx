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041e3c0144c89139/Desktop/Github/Machine-Learning/75_ML_Results/"/>
    </mc:Choice>
  </mc:AlternateContent>
  <xr:revisionPtr revIDLastSave="0" documentId="8_{A9D148E0-10F0-49B4-BB87-795FA6CD513A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Results" sheetId="1" r:id="rId1"/>
    <sheet name="Summary by Algorithm" sheetId="2" r:id="rId2"/>
    <sheet name="Summary by PCA Components" sheetId="3" r:id="rId3"/>
  </sheets>
  <definedNames>
    <definedName name="_xlnm._FilterDatabase" localSheetId="0" hidden="1">Results!$A$1:$H$76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6" i="3" l="1"/>
  <c r="D6" i="3"/>
  <c r="C6" i="3"/>
  <c r="B6" i="3"/>
  <c r="E5" i="3"/>
  <c r="D5" i="3"/>
  <c r="C5" i="3"/>
  <c r="B5" i="3"/>
  <c r="E4" i="3"/>
  <c r="D4" i="3"/>
  <c r="C4" i="3"/>
  <c r="B4" i="3"/>
  <c r="E3" i="3"/>
  <c r="D3" i="3"/>
  <c r="C3" i="3"/>
  <c r="B3" i="3"/>
  <c r="E2" i="3"/>
  <c r="D2" i="3"/>
  <c r="C2" i="3"/>
  <c r="B2" i="3"/>
  <c r="G6" i="2"/>
  <c r="F6" i="2"/>
  <c r="E6" i="2"/>
  <c r="D6" i="2"/>
  <c r="C6" i="2"/>
  <c r="B6" i="2"/>
  <c r="G5" i="2"/>
  <c r="F5" i="2"/>
  <c r="E5" i="2"/>
  <c r="D5" i="2"/>
  <c r="C5" i="2"/>
  <c r="B5" i="2"/>
  <c r="G4" i="2"/>
  <c r="F4" i="2"/>
  <c r="E4" i="2"/>
  <c r="D4" i="2"/>
  <c r="C4" i="2"/>
  <c r="B4" i="2"/>
  <c r="G3" i="2"/>
  <c r="F3" i="2"/>
  <c r="E3" i="2"/>
  <c r="D3" i="2"/>
  <c r="C3" i="2"/>
  <c r="B3" i="2"/>
  <c r="G2" i="2"/>
  <c r="F2" i="2"/>
  <c r="E2" i="2"/>
  <c r="D2" i="2"/>
  <c r="C2" i="2"/>
  <c r="B2" i="2"/>
  <c r="B8" i="2" s="1"/>
</calcChain>
</file>

<file path=xl/sharedStrings.xml><?xml version="1.0" encoding="utf-8"?>
<sst xmlns="http://schemas.openxmlformats.org/spreadsheetml/2006/main" count="101" uniqueCount="20">
  <si>
    <t>Experiment</t>
  </si>
  <si>
    <t>Algorithm</t>
  </si>
  <si>
    <t>Test Size</t>
  </si>
  <si>
    <t>PCA Components</t>
  </si>
  <si>
    <t>Accuracy</t>
  </si>
  <si>
    <t>Precision</t>
  </si>
  <si>
    <t>Recall</t>
  </si>
  <si>
    <t>F1 Score</t>
  </si>
  <si>
    <t>Linear Regression</t>
  </si>
  <si>
    <t>Logistic Regression</t>
  </si>
  <si>
    <t>Ridge Regression</t>
  </si>
  <si>
    <t>Lasso Regression</t>
  </si>
  <si>
    <t>Elastic Net</t>
  </si>
  <si>
    <t>Avg Accuracy</t>
  </si>
  <si>
    <t>Avg Precision</t>
  </si>
  <si>
    <t>Avg Recall</t>
  </si>
  <si>
    <t>Avg F1 Score</t>
  </si>
  <si>
    <t>Max Accuracy</t>
  </si>
  <si>
    <t># Experiments</t>
  </si>
  <si>
    <t>Best Overall (by Avg Accuracy)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</si>
</sst>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4" x14ac:knownFonts="1">
    <font>
      <sz val="11"/>
      <color theme="1"/>
      <name val="Calibri"/>
      <family val="2"/>
      <charset val="1"/>
    </font>
    <font>
      <b/>
      <sz val="11"/>
      <color rgb="FF000000"/>
      <name val="Arial"/>
      <charset val="1"/>
    </font>
    <font>
      <sz val="10"/>
      <name val="Arial"/>
      <charset val="1"/>
    </font>
    <font>
      <b/>
      <sz val="10"/>
      <name val="Arial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65" fontId="2" fillId="0" borderId="2" xfId="0" applyNumberFormat="1" applyFont="1" applyBorder="1" applyAlignment="1">
      <alignment horizontal="center"/>
    </xf>
    <xf numFmtId="0" fontId="3" fillId="0" borderId="0" xfId="0" applyFont="1"/>
    <xf numFmtId="1" fontId="2" fillId="0" borderId="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9F9F9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Average Accuracy by Algorithm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'Summary by Algorithm'!$B$1</c:f>
              <c:strCache>
                <c:ptCount val="1"/>
                <c:pt idx="0">
                  <c:v>Avg Accuracy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by Algorithm'!$A$2:$A$6</c:f>
              <c:strCache>
                <c:ptCount val="5"/>
                <c:pt idx="0">
                  <c:v>Linear Regression</c:v>
                </c:pt>
                <c:pt idx="1">
                  <c:v>Logistic Regression</c:v>
                </c:pt>
                <c:pt idx="2">
                  <c:v>Ridge Regression</c:v>
                </c:pt>
                <c:pt idx="3">
                  <c:v>Lasso Regression</c:v>
                </c:pt>
                <c:pt idx="4">
                  <c:v>Elastic Net</c:v>
                </c:pt>
              </c:strCache>
            </c:strRef>
          </c:cat>
          <c:val>
            <c:numRef>
              <c:f>'Summary by Algorithm'!$B$2:$B$6</c:f>
              <c:numCache>
                <c:formatCode>0.0000</c:formatCode>
                <c:ptCount val="5"/>
                <c:pt idx="0">
                  <c:v>0.84549825969106063</c:v>
                </c:pt>
                <c:pt idx="1">
                  <c:v>0.86120803632933485</c:v>
                </c:pt>
                <c:pt idx="2">
                  <c:v>0.84549825969106063</c:v>
                </c:pt>
                <c:pt idx="3">
                  <c:v>0.84549825969106063</c:v>
                </c:pt>
                <c:pt idx="4">
                  <c:v>0.84549825969106063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21-4080-8591-1AB635FC1D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0783111"/>
        <c:axId val="75661620"/>
      </c:barChart>
      <c:catAx>
        <c:axId val="9078311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Algorithm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5661620"/>
        <c:crosses val="autoZero"/>
        <c:auto val="1"/>
        <c:lblAlgn val="ctr"/>
        <c:lblOffset val="100"/>
        <c:noMultiLvlLbl val="0"/>
      </c:catAx>
      <c:valAx>
        <c:axId val="7566162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Avg Accuracy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078311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Average Accuracy vs PCA Components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'Summary by PCA Components'!$B$1</c:f>
              <c:strCache>
                <c:ptCount val="1"/>
                <c:pt idx="0">
                  <c:v>Avg Accuracy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'Summary by PCA Components'!$A$2:$A$6</c:f>
              <c:numCache>
                <c:formatCode>0</c:formatCode>
                <c:ptCount val="5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9</c:v>
                </c:pt>
              </c:numCache>
            </c:numRef>
          </c:cat>
          <c:val>
            <c:numRef>
              <c:f>'Summary by PCA Components'!$B$2:$B$6</c:f>
              <c:numCache>
                <c:formatCode>0.0000</c:formatCode>
                <c:ptCount val="5"/>
                <c:pt idx="0">
                  <c:v>0.7792955219757709</c:v>
                </c:pt>
                <c:pt idx="1">
                  <c:v>0.85017666433835981</c:v>
                </c:pt>
                <c:pt idx="2">
                  <c:v>0.8738389915985536</c:v>
                </c:pt>
                <c:pt idx="3">
                  <c:v>0.86989788054288442</c:v>
                </c:pt>
                <c:pt idx="4">
                  <c:v>0.86999201663800851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8D-4B2D-9EBE-949BF924C2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1394829"/>
        <c:axId val="9972791"/>
      </c:barChart>
      <c:catAx>
        <c:axId val="7139482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PCA Components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972791"/>
        <c:crosses val="autoZero"/>
        <c:auto val="1"/>
        <c:lblAlgn val="ctr"/>
        <c:lblOffset val="100"/>
        <c:noMultiLvlLbl val="0"/>
      </c:catAx>
      <c:valAx>
        <c:axId val="997279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Avg Accuracy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139482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0</xdr:rowOff>
    </xdr:from>
    <xdr:to>
      <xdr:col>6</xdr:col>
      <xdr:colOff>276840</xdr:colOff>
      <xdr:row>27</xdr:row>
      <xdr:rowOff>170640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0</xdr:rowOff>
    </xdr:from>
    <xdr:to>
      <xdr:col>7</xdr:col>
      <xdr:colOff>322560</xdr:colOff>
      <xdr:row>26</xdr:row>
      <xdr:rowOff>170640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6"/>
  <sheetViews>
    <sheetView tabSelected="1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5.21875" customWidth="1"/>
    <col min="2" max="2" width="21.77734375" customWidth="1"/>
    <col min="3" max="3" width="12.6640625" customWidth="1"/>
    <col min="4" max="4" width="15.88671875" customWidth="1"/>
    <col min="5" max="8" width="12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1</v>
      </c>
      <c r="B2" s="2" t="s">
        <v>8</v>
      </c>
      <c r="C2" s="3">
        <v>0.2</v>
      </c>
      <c r="D2" s="2">
        <v>2</v>
      </c>
      <c r="E2" s="4">
        <v>0.72822732203700602</v>
      </c>
      <c r="F2" s="4">
        <v>0.84190540865360197</v>
      </c>
      <c r="G2" s="4">
        <v>0.72822732203700602</v>
      </c>
      <c r="H2" s="4">
        <v>0.74893986013532898</v>
      </c>
    </row>
    <row r="3" spans="1:8" x14ac:dyDescent="0.3">
      <c r="A3" s="2">
        <v>2</v>
      </c>
      <c r="B3" s="2" t="s">
        <v>9</v>
      </c>
      <c r="C3" s="3">
        <v>0.2</v>
      </c>
      <c r="D3" s="2">
        <v>2</v>
      </c>
      <c r="E3" s="4">
        <v>0.79406484438264902</v>
      </c>
      <c r="F3" s="4">
        <v>0.78854532252243104</v>
      </c>
      <c r="G3" s="4">
        <v>0.79406484438264902</v>
      </c>
      <c r="H3" s="4">
        <v>0.78974929803249905</v>
      </c>
    </row>
    <row r="4" spans="1:8" x14ac:dyDescent="0.3">
      <c r="A4" s="2">
        <v>3</v>
      </c>
      <c r="B4" s="2" t="s">
        <v>10</v>
      </c>
      <c r="C4" s="3">
        <v>0.2</v>
      </c>
      <c r="D4" s="2">
        <v>2</v>
      </c>
      <c r="E4" s="4">
        <v>0.72822732203700602</v>
      </c>
      <c r="F4" s="4">
        <v>0.84190540865360197</v>
      </c>
      <c r="G4" s="4">
        <v>0.72822732203700602</v>
      </c>
      <c r="H4" s="4">
        <v>0.74893986013532898</v>
      </c>
    </row>
    <row r="5" spans="1:8" x14ac:dyDescent="0.3">
      <c r="A5" s="2">
        <v>4</v>
      </c>
      <c r="B5" s="2" t="s">
        <v>11</v>
      </c>
      <c r="C5" s="3">
        <v>0.2</v>
      </c>
      <c r="D5" s="2">
        <v>2</v>
      </c>
      <c r="E5" s="4">
        <v>0.72822732203700602</v>
      </c>
      <c r="F5" s="4">
        <v>0.84190540865360197</v>
      </c>
      <c r="G5" s="4">
        <v>0.72822732203700602</v>
      </c>
      <c r="H5" s="4">
        <v>0.74893986013532898</v>
      </c>
    </row>
    <row r="6" spans="1:8" x14ac:dyDescent="0.3">
      <c r="A6" s="2">
        <v>5</v>
      </c>
      <c r="B6" s="2" t="s">
        <v>12</v>
      </c>
      <c r="C6" s="3">
        <v>0.2</v>
      </c>
      <c r="D6" s="2">
        <v>2</v>
      </c>
      <c r="E6" s="4">
        <v>0.72822732203700602</v>
      </c>
      <c r="F6" s="4">
        <v>0.84190540865360197</v>
      </c>
      <c r="G6" s="4">
        <v>0.72822732203700602</v>
      </c>
      <c r="H6" s="4">
        <v>0.74893986013532898</v>
      </c>
    </row>
    <row r="7" spans="1:8" x14ac:dyDescent="0.3">
      <c r="A7" s="2">
        <v>6</v>
      </c>
      <c r="B7" s="2" t="s">
        <v>8</v>
      </c>
      <c r="C7" s="3">
        <v>0.2</v>
      </c>
      <c r="D7" s="2">
        <v>4</v>
      </c>
      <c r="E7" s="4">
        <v>0.84931778942382596</v>
      </c>
      <c r="F7" s="4">
        <v>0.87295331212696803</v>
      </c>
      <c r="G7" s="4">
        <v>0.84931778942382596</v>
      </c>
      <c r="H7" s="4">
        <v>0.84994935016546302</v>
      </c>
    </row>
    <row r="8" spans="1:8" x14ac:dyDescent="0.3">
      <c r="A8" s="2">
        <v>7</v>
      </c>
      <c r="B8" s="2" t="s">
        <v>9</v>
      </c>
      <c r="C8" s="3">
        <v>0.2</v>
      </c>
      <c r="D8" s="2">
        <v>4</v>
      </c>
      <c r="E8" s="4">
        <v>0.85349661568549595</v>
      </c>
      <c r="F8" s="4">
        <v>0.82605616989147002</v>
      </c>
      <c r="G8" s="4">
        <v>0.85349661568549595</v>
      </c>
      <c r="H8" s="4">
        <v>0.83909406541309595</v>
      </c>
    </row>
    <row r="9" spans="1:8" x14ac:dyDescent="0.3">
      <c r="A9" s="2">
        <v>8</v>
      </c>
      <c r="B9" s="2" t="s">
        <v>10</v>
      </c>
      <c r="C9" s="3">
        <v>0.2</v>
      </c>
      <c r="D9" s="2">
        <v>4</v>
      </c>
      <c r="E9" s="4">
        <v>0.84931778942382596</v>
      </c>
      <c r="F9" s="4">
        <v>0.87295331212696803</v>
      </c>
      <c r="G9" s="4">
        <v>0.84931778942382596</v>
      </c>
      <c r="H9" s="4">
        <v>0.84994935016546302</v>
      </c>
    </row>
    <row r="10" spans="1:8" x14ac:dyDescent="0.3">
      <c r="A10" s="2">
        <v>9</v>
      </c>
      <c r="B10" s="2" t="s">
        <v>11</v>
      </c>
      <c r="C10" s="3">
        <v>0.2</v>
      </c>
      <c r="D10" s="2">
        <v>4</v>
      </c>
      <c r="E10" s="4">
        <v>0.84931778942382596</v>
      </c>
      <c r="F10" s="4">
        <v>0.87295331212696803</v>
      </c>
      <c r="G10" s="4">
        <v>0.84931778942382596</v>
      </c>
      <c r="H10" s="4">
        <v>0.84994935016546302</v>
      </c>
    </row>
    <row r="11" spans="1:8" x14ac:dyDescent="0.3">
      <c r="A11" s="2">
        <v>10</v>
      </c>
      <c r="B11" s="2" t="s">
        <v>12</v>
      </c>
      <c r="C11" s="3">
        <v>0.2</v>
      </c>
      <c r="D11" s="2">
        <v>4</v>
      </c>
      <c r="E11" s="4">
        <v>0.84931778942382596</v>
      </c>
      <c r="F11" s="4">
        <v>0.87295331212696803</v>
      </c>
      <c r="G11" s="4">
        <v>0.84931778942382596</v>
      </c>
      <c r="H11" s="4">
        <v>0.84994935016546302</v>
      </c>
    </row>
    <row r="12" spans="1:8" x14ac:dyDescent="0.3">
      <c r="A12" s="2">
        <v>11</v>
      </c>
      <c r="B12" s="2" t="s">
        <v>8</v>
      </c>
      <c r="C12" s="3">
        <v>0.2</v>
      </c>
      <c r="D12" s="2">
        <v>6</v>
      </c>
      <c r="E12" s="4">
        <v>0.87328683402343799</v>
      </c>
      <c r="F12" s="4">
        <v>0.87934420206175501</v>
      </c>
      <c r="G12" s="4">
        <v>0.87328683402343799</v>
      </c>
      <c r="H12" s="4">
        <v>0.867438939049475</v>
      </c>
    </row>
    <row r="13" spans="1:8" x14ac:dyDescent="0.3">
      <c r="A13" s="2">
        <v>12</v>
      </c>
      <c r="B13" s="2" t="s">
        <v>9</v>
      </c>
      <c r="C13" s="3">
        <v>0.2</v>
      </c>
      <c r="D13" s="2">
        <v>6</v>
      </c>
      <c r="E13" s="4">
        <v>0.87663295084722503</v>
      </c>
      <c r="F13" s="4">
        <v>0.85746324798673001</v>
      </c>
      <c r="G13" s="4">
        <v>0.87663295084722503</v>
      </c>
      <c r="H13" s="4">
        <v>0.86284781328834803</v>
      </c>
    </row>
    <row r="14" spans="1:8" x14ac:dyDescent="0.3">
      <c r="A14" s="2">
        <v>13</v>
      </c>
      <c r="B14" s="2" t="s">
        <v>10</v>
      </c>
      <c r="C14" s="3">
        <v>0.2</v>
      </c>
      <c r="D14" s="2">
        <v>6</v>
      </c>
      <c r="E14" s="4">
        <v>0.87328683402343799</v>
      </c>
      <c r="F14" s="4">
        <v>0.87934420206175501</v>
      </c>
      <c r="G14" s="4">
        <v>0.87328683402343799</v>
      </c>
      <c r="H14" s="4">
        <v>0.867438939049475</v>
      </c>
    </row>
    <row r="15" spans="1:8" x14ac:dyDescent="0.3">
      <c r="A15" s="2">
        <v>14</v>
      </c>
      <c r="B15" s="2" t="s">
        <v>11</v>
      </c>
      <c r="C15" s="3">
        <v>0.2</v>
      </c>
      <c r="D15" s="2">
        <v>6</v>
      </c>
      <c r="E15" s="4">
        <v>0.87328683402343799</v>
      </c>
      <c r="F15" s="4">
        <v>0.87934420206175501</v>
      </c>
      <c r="G15" s="4">
        <v>0.87328683402343799</v>
      </c>
      <c r="H15" s="4">
        <v>0.867438939049475</v>
      </c>
    </row>
    <row r="16" spans="1:8" x14ac:dyDescent="0.3">
      <c r="A16" s="2">
        <v>15</v>
      </c>
      <c r="B16" s="2" t="s">
        <v>12</v>
      </c>
      <c r="C16" s="3">
        <v>0.2</v>
      </c>
      <c r="D16" s="2">
        <v>6</v>
      </c>
      <c r="E16" s="4">
        <v>0.87328683402343799</v>
      </c>
      <c r="F16" s="4">
        <v>0.87934420206175501</v>
      </c>
      <c r="G16" s="4">
        <v>0.87328683402343799</v>
      </c>
      <c r="H16" s="4">
        <v>0.867438939049475</v>
      </c>
    </row>
    <row r="17" spans="1:8" x14ac:dyDescent="0.3">
      <c r="A17" s="2">
        <v>16</v>
      </c>
      <c r="B17" s="2" t="s">
        <v>8</v>
      </c>
      <c r="C17" s="3">
        <v>0.2</v>
      </c>
      <c r="D17" s="2">
        <v>8</v>
      </c>
      <c r="E17" s="4">
        <v>0.86812250760133902</v>
      </c>
      <c r="F17" s="4">
        <v>0.87888333547140596</v>
      </c>
      <c r="G17" s="4">
        <v>0.86812250760133902</v>
      </c>
      <c r="H17" s="4">
        <v>0.86340302053654205</v>
      </c>
    </row>
    <row r="18" spans="1:8" x14ac:dyDescent="0.3">
      <c r="A18" s="2">
        <v>17</v>
      </c>
      <c r="B18" s="2" t="s">
        <v>9</v>
      </c>
      <c r="C18" s="3">
        <v>0.2</v>
      </c>
      <c r="D18" s="2">
        <v>8</v>
      </c>
      <c r="E18" s="4">
        <v>0.877641369616037</v>
      </c>
      <c r="F18" s="4">
        <v>0.86197693871842496</v>
      </c>
      <c r="G18" s="4">
        <v>0.877641369616037</v>
      </c>
      <c r="H18" s="4">
        <v>0.86463373849684</v>
      </c>
    </row>
    <row r="19" spans="1:8" x14ac:dyDescent="0.3">
      <c r="A19" s="2">
        <v>18</v>
      </c>
      <c r="B19" s="2" t="s">
        <v>10</v>
      </c>
      <c r="C19" s="3">
        <v>0.2</v>
      </c>
      <c r="D19" s="2">
        <v>8</v>
      </c>
      <c r="E19" s="4">
        <v>0.86812250760133902</v>
      </c>
      <c r="F19" s="4">
        <v>0.87888333547140596</v>
      </c>
      <c r="G19" s="4">
        <v>0.86812250760133902</v>
      </c>
      <c r="H19" s="4">
        <v>0.86340302053654205</v>
      </c>
    </row>
    <row r="20" spans="1:8" x14ac:dyDescent="0.3">
      <c r="A20" s="2">
        <v>19</v>
      </c>
      <c r="B20" s="2" t="s">
        <v>11</v>
      </c>
      <c r="C20" s="3">
        <v>0.2</v>
      </c>
      <c r="D20" s="2">
        <v>8</v>
      </c>
      <c r="E20" s="4">
        <v>0.86812250760133902</v>
      </c>
      <c r="F20" s="4">
        <v>0.87888333547140596</v>
      </c>
      <c r="G20" s="4">
        <v>0.86812250760133902</v>
      </c>
      <c r="H20" s="4">
        <v>0.86340302053654205</v>
      </c>
    </row>
    <row r="21" spans="1:8" x14ac:dyDescent="0.3">
      <c r="A21" s="2">
        <v>20</v>
      </c>
      <c r="B21" s="2" t="s">
        <v>12</v>
      </c>
      <c r="C21" s="3">
        <v>0.2</v>
      </c>
      <c r="D21" s="2">
        <v>8</v>
      </c>
      <c r="E21" s="4">
        <v>0.86812250760133902</v>
      </c>
      <c r="F21" s="4">
        <v>0.87888333547140596</v>
      </c>
      <c r="G21" s="4">
        <v>0.86812250760133902</v>
      </c>
      <c r="H21" s="4">
        <v>0.86340302053654205</v>
      </c>
    </row>
    <row r="22" spans="1:8" x14ac:dyDescent="0.3">
      <c r="A22" s="2">
        <v>21</v>
      </c>
      <c r="B22" s="2" t="s">
        <v>8</v>
      </c>
      <c r="C22" s="3">
        <v>0.2</v>
      </c>
      <c r="D22" s="2">
        <v>9</v>
      </c>
      <c r="E22" s="4">
        <v>0.86817598435423005</v>
      </c>
      <c r="F22" s="4">
        <v>0.87887881279380897</v>
      </c>
      <c r="G22" s="4">
        <v>0.86817598435423005</v>
      </c>
      <c r="H22" s="4">
        <v>0.86342687269208096</v>
      </c>
    </row>
    <row r="23" spans="1:8" x14ac:dyDescent="0.3">
      <c r="A23" s="2">
        <v>22</v>
      </c>
      <c r="B23" s="2" t="s">
        <v>9</v>
      </c>
      <c r="C23" s="3">
        <v>0.2</v>
      </c>
      <c r="D23" s="2">
        <v>9</v>
      </c>
      <c r="E23" s="4">
        <v>0.87805390456691501</v>
      </c>
      <c r="F23" s="4">
        <v>0.862689937933804</v>
      </c>
      <c r="G23" s="4">
        <v>0.87805390456691501</v>
      </c>
      <c r="H23" s="4">
        <v>0.86504249708637304</v>
      </c>
    </row>
    <row r="24" spans="1:8" x14ac:dyDescent="0.3">
      <c r="A24" s="2">
        <v>23</v>
      </c>
      <c r="B24" s="2" t="s">
        <v>10</v>
      </c>
      <c r="C24" s="3">
        <v>0.2</v>
      </c>
      <c r="D24" s="2">
        <v>9</v>
      </c>
      <c r="E24" s="4">
        <v>0.86817598435423005</v>
      </c>
      <c r="F24" s="4">
        <v>0.87887881279380897</v>
      </c>
      <c r="G24" s="4">
        <v>0.86817598435423005</v>
      </c>
      <c r="H24" s="4">
        <v>0.86342687269208096</v>
      </c>
    </row>
    <row r="25" spans="1:8" x14ac:dyDescent="0.3">
      <c r="A25" s="2">
        <v>24</v>
      </c>
      <c r="B25" s="2" t="s">
        <v>11</v>
      </c>
      <c r="C25" s="3">
        <v>0.2</v>
      </c>
      <c r="D25" s="2">
        <v>9</v>
      </c>
      <c r="E25" s="4">
        <v>0.86817598435423005</v>
      </c>
      <c r="F25" s="4">
        <v>0.87887881279380897</v>
      </c>
      <c r="G25" s="4">
        <v>0.86817598435423005</v>
      </c>
      <c r="H25" s="4">
        <v>0.86342687269208096</v>
      </c>
    </row>
    <row r="26" spans="1:8" x14ac:dyDescent="0.3">
      <c r="A26" s="2">
        <v>25</v>
      </c>
      <c r="B26" s="2" t="s">
        <v>12</v>
      </c>
      <c r="C26" s="3">
        <v>0.2</v>
      </c>
      <c r="D26" s="2">
        <v>9</v>
      </c>
      <c r="E26" s="4">
        <v>0.86817598435423005</v>
      </c>
      <c r="F26" s="4">
        <v>0.87887881279380897</v>
      </c>
      <c r="G26" s="4">
        <v>0.86817598435423005</v>
      </c>
      <c r="H26" s="4">
        <v>0.86342687269208096</v>
      </c>
    </row>
    <row r="27" spans="1:8" x14ac:dyDescent="0.3">
      <c r="A27" s="2">
        <v>26</v>
      </c>
      <c r="B27" s="2" t="s">
        <v>8</v>
      </c>
      <c r="C27" s="3">
        <v>0.4</v>
      </c>
      <c r="D27" s="2">
        <v>2</v>
      </c>
      <c r="E27" s="4">
        <v>0.72899318553377401</v>
      </c>
      <c r="F27" s="4">
        <v>0.84178724455417797</v>
      </c>
      <c r="G27" s="4">
        <v>0.72899318553377401</v>
      </c>
      <c r="H27" s="4">
        <v>0.74948240732798999</v>
      </c>
    </row>
    <row r="28" spans="1:8" x14ac:dyDescent="0.3">
      <c r="A28" s="2">
        <v>27</v>
      </c>
      <c r="B28" s="2" t="s">
        <v>9</v>
      </c>
      <c r="C28" s="3">
        <v>0.4</v>
      </c>
      <c r="D28" s="2">
        <v>2</v>
      </c>
      <c r="E28" s="4">
        <v>0.79528335039496401</v>
      </c>
      <c r="F28" s="4">
        <v>0.78886487445574704</v>
      </c>
      <c r="G28" s="4">
        <v>0.79528335039496401</v>
      </c>
      <c r="H28" s="4">
        <v>0.79063389640583603</v>
      </c>
    </row>
    <row r="29" spans="1:8" x14ac:dyDescent="0.3">
      <c r="A29" s="2">
        <v>28</v>
      </c>
      <c r="B29" s="2" t="s">
        <v>10</v>
      </c>
      <c r="C29" s="3">
        <v>0.4</v>
      </c>
      <c r="D29" s="2">
        <v>2</v>
      </c>
      <c r="E29" s="4">
        <v>0.72899318553377401</v>
      </c>
      <c r="F29" s="4">
        <v>0.84178724455417797</v>
      </c>
      <c r="G29" s="4">
        <v>0.72899318553377401</v>
      </c>
      <c r="H29" s="4">
        <v>0.74948240732798999</v>
      </c>
    </row>
    <row r="30" spans="1:8" x14ac:dyDescent="0.3">
      <c r="A30" s="2">
        <v>29</v>
      </c>
      <c r="B30" s="2" t="s">
        <v>11</v>
      </c>
      <c r="C30" s="3">
        <v>0.4</v>
      </c>
      <c r="D30" s="2">
        <v>2</v>
      </c>
      <c r="E30" s="4">
        <v>0.72899318553377401</v>
      </c>
      <c r="F30" s="4">
        <v>0.84178724455417797</v>
      </c>
      <c r="G30" s="4">
        <v>0.72899318553377401</v>
      </c>
      <c r="H30" s="4">
        <v>0.74948240732798999</v>
      </c>
    </row>
    <row r="31" spans="1:8" x14ac:dyDescent="0.3">
      <c r="A31" s="2">
        <v>30</v>
      </c>
      <c r="B31" s="2" t="s">
        <v>12</v>
      </c>
      <c r="C31" s="3">
        <v>0.4</v>
      </c>
      <c r="D31" s="2">
        <v>2</v>
      </c>
      <c r="E31" s="4">
        <v>0.72899318553377401</v>
      </c>
      <c r="F31" s="4">
        <v>0.84178724455417797</v>
      </c>
      <c r="G31" s="4">
        <v>0.72899318553377401</v>
      </c>
      <c r="H31" s="4">
        <v>0.74948240732798999</v>
      </c>
    </row>
    <row r="32" spans="1:8" x14ac:dyDescent="0.3">
      <c r="A32" s="2">
        <v>31</v>
      </c>
      <c r="B32" s="2" t="s">
        <v>8</v>
      </c>
      <c r="C32" s="3">
        <v>0.4</v>
      </c>
      <c r="D32" s="2">
        <v>4</v>
      </c>
      <c r="E32" s="4">
        <v>0.84938845513300398</v>
      </c>
      <c r="F32" s="4">
        <v>0.87263929595120904</v>
      </c>
      <c r="G32" s="4">
        <v>0.84938845513300398</v>
      </c>
      <c r="H32" s="4">
        <v>0.84969975187552305</v>
      </c>
    </row>
    <row r="33" spans="1:8" x14ac:dyDescent="0.3">
      <c r="A33" s="2">
        <v>32</v>
      </c>
      <c r="B33" s="2" t="s">
        <v>9</v>
      </c>
      <c r="C33" s="3">
        <v>0.4</v>
      </c>
      <c r="D33" s="2">
        <v>4</v>
      </c>
      <c r="E33" s="4">
        <v>0.85355773197451501</v>
      </c>
      <c r="F33" s="4">
        <v>0.82594017855358703</v>
      </c>
      <c r="G33" s="4">
        <v>0.85355773197451501</v>
      </c>
      <c r="H33" s="4">
        <v>0.83902600064833099</v>
      </c>
    </row>
    <row r="34" spans="1:8" x14ac:dyDescent="0.3">
      <c r="A34" s="2">
        <v>33</v>
      </c>
      <c r="B34" s="2" t="s">
        <v>10</v>
      </c>
      <c r="C34" s="3">
        <v>0.4</v>
      </c>
      <c r="D34" s="2">
        <v>4</v>
      </c>
      <c r="E34" s="4">
        <v>0.84938845513300398</v>
      </c>
      <c r="F34" s="4">
        <v>0.87263929595120904</v>
      </c>
      <c r="G34" s="4">
        <v>0.84938845513300398</v>
      </c>
      <c r="H34" s="4">
        <v>0.84969975187552305</v>
      </c>
    </row>
    <row r="35" spans="1:8" x14ac:dyDescent="0.3">
      <c r="A35" s="2">
        <v>34</v>
      </c>
      <c r="B35" s="2" t="s">
        <v>11</v>
      </c>
      <c r="C35" s="3">
        <v>0.4</v>
      </c>
      <c r="D35" s="2">
        <v>4</v>
      </c>
      <c r="E35" s="4">
        <v>0.84938845513300398</v>
      </c>
      <c r="F35" s="4">
        <v>0.87263929595120904</v>
      </c>
      <c r="G35" s="4">
        <v>0.84938845513300398</v>
      </c>
      <c r="H35" s="4">
        <v>0.84969975187552305</v>
      </c>
    </row>
    <row r="36" spans="1:8" x14ac:dyDescent="0.3">
      <c r="A36" s="2">
        <v>35</v>
      </c>
      <c r="B36" s="2" t="s">
        <v>12</v>
      </c>
      <c r="C36" s="3">
        <v>0.4</v>
      </c>
      <c r="D36" s="2">
        <v>4</v>
      </c>
      <c r="E36" s="4">
        <v>0.84938845513300398</v>
      </c>
      <c r="F36" s="4">
        <v>0.87263929595120904</v>
      </c>
      <c r="G36" s="4">
        <v>0.84938845513300398</v>
      </c>
      <c r="H36" s="4">
        <v>0.84969975187552305</v>
      </c>
    </row>
    <row r="37" spans="1:8" x14ac:dyDescent="0.3">
      <c r="A37" s="2">
        <v>36</v>
      </c>
      <c r="B37" s="2" t="s">
        <v>8</v>
      </c>
      <c r="C37" s="3">
        <v>0.4</v>
      </c>
      <c r="D37" s="2">
        <v>6</v>
      </c>
      <c r="E37" s="4">
        <v>0.87313022353282699</v>
      </c>
      <c r="F37" s="4">
        <v>0.87892710283240905</v>
      </c>
      <c r="G37" s="4">
        <v>0.87313022353282699</v>
      </c>
      <c r="H37" s="4">
        <v>0.86704128141648396</v>
      </c>
    </row>
    <row r="38" spans="1:8" x14ac:dyDescent="0.3">
      <c r="A38" s="2">
        <v>37</v>
      </c>
      <c r="B38" s="2" t="s">
        <v>9</v>
      </c>
      <c r="C38" s="3">
        <v>0.4</v>
      </c>
      <c r="D38" s="2">
        <v>6</v>
      </c>
      <c r="E38" s="4">
        <v>0.87627962230133405</v>
      </c>
      <c r="F38" s="4">
        <v>0.85682543086195895</v>
      </c>
      <c r="G38" s="4">
        <v>0.87627962230133405</v>
      </c>
      <c r="H38" s="4">
        <v>0.86235859086899702</v>
      </c>
    </row>
    <row r="39" spans="1:8" x14ac:dyDescent="0.3">
      <c r="A39" s="2">
        <v>38</v>
      </c>
      <c r="B39" s="2" t="s">
        <v>10</v>
      </c>
      <c r="C39" s="3">
        <v>0.4</v>
      </c>
      <c r="D39" s="2">
        <v>6</v>
      </c>
      <c r="E39" s="4">
        <v>0.87313022353282699</v>
      </c>
      <c r="F39" s="4">
        <v>0.87892710283240905</v>
      </c>
      <c r="G39" s="4">
        <v>0.87313022353282699</v>
      </c>
      <c r="H39" s="4">
        <v>0.86704128141648396</v>
      </c>
    </row>
    <row r="40" spans="1:8" x14ac:dyDescent="0.3">
      <c r="A40" s="2">
        <v>39</v>
      </c>
      <c r="B40" s="2" t="s">
        <v>11</v>
      </c>
      <c r="C40" s="3">
        <v>0.4</v>
      </c>
      <c r="D40" s="2">
        <v>6</v>
      </c>
      <c r="E40" s="4">
        <v>0.87313022353282699</v>
      </c>
      <c r="F40" s="4">
        <v>0.87892710283240905</v>
      </c>
      <c r="G40" s="4">
        <v>0.87313022353282699</v>
      </c>
      <c r="H40" s="4">
        <v>0.86704128141648396</v>
      </c>
    </row>
    <row r="41" spans="1:8" x14ac:dyDescent="0.3">
      <c r="A41" s="2">
        <v>40</v>
      </c>
      <c r="B41" s="2" t="s">
        <v>12</v>
      </c>
      <c r="C41" s="3">
        <v>0.4</v>
      </c>
      <c r="D41" s="2">
        <v>6</v>
      </c>
      <c r="E41" s="4">
        <v>0.87313022353282699</v>
      </c>
      <c r="F41" s="4">
        <v>0.87892710283240905</v>
      </c>
      <c r="G41" s="4">
        <v>0.87313022353282699</v>
      </c>
      <c r="H41" s="4">
        <v>0.86704128141648396</v>
      </c>
    </row>
    <row r="42" spans="1:8" x14ac:dyDescent="0.3">
      <c r="A42" s="2">
        <v>41</v>
      </c>
      <c r="B42" s="2" t="s">
        <v>8</v>
      </c>
      <c r="C42" s="3">
        <v>0.4</v>
      </c>
      <c r="D42" s="2">
        <v>8</v>
      </c>
      <c r="E42" s="4">
        <v>0.86804802212409704</v>
      </c>
      <c r="F42" s="4">
        <v>0.87847548170614898</v>
      </c>
      <c r="G42" s="4">
        <v>0.86804802212409704</v>
      </c>
      <c r="H42" s="4">
        <v>0.86299746169804004</v>
      </c>
    </row>
    <row r="43" spans="1:8" x14ac:dyDescent="0.3">
      <c r="A43" s="2">
        <v>42</v>
      </c>
      <c r="B43" s="2" t="s">
        <v>9</v>
      </c>
      <c r="C43" s="3">
        <v>0.4</v>
      </c>
      <c r="D43" s="2">
        <v>8</v>
      </c>
      <c r="E43" s="4">
        <v>0.87708750324680296</v>
      </c>
      <c r="F43" s="4">
        <v>0.86134599310645699</v>
      </c>
      <c r="G43" s="4">
        <v>0.87708750324680296</v>
      </c>
      <c r="H43" s="4">
        <v>0.86399954498754605</v>
      </c>
    </row>
    <row r="44" spans="1:8" x14ac:dyDescent="0.3">
      <c r="A44" s="2">
        <v>43</v>
      </c>
      <c r="B44" s="2" t="s">
        <v>10</v>
      </c>
      <c r="C44" s="3">
        <v>0.4</v>
      </c>
      <c r="D44" s="2">
        <v>8</v>
      </c>
      <c r="E44" s="4">
        <v>0.86804802212409704</v>
      </c>
      <c r="F44" s="4">
        <v>0.87847548170614898</v>
      </c>
      <c r="G44" s="4">
        <v>0.86804802212409704</v>
      </c>
      <c r="H44" s="4">
        <v>0.86299746169804004</v>
      </c>
    </row>
    <row r="45" spans="1:8" x14ac:dyDescent="0.3">
      <c r="A45" s="2">
        <v>44</v>
      </c>
      <c r="B45" s="2" t="s">
        <v>11</v>
      </c>
      <c r="C45" s="3">
        <v>0.4</v>
      </c>
      <c r="D45" s="2">
        <v>8</v>
      </c>
      <c r="E45" s="4">
        <v>0.86804802212409704</v>
      </c>
      <c r="F45" s="4">
        <v>0.87847548170614898</v>
      </c>
      <c r="G45" s="4">
        <v>0.86804802212409704</v>
      </c>
      <c r="H45" s="4">
        <v>0.86299746169804004</v>
      </c>
    </row>
    <row r="46" spans="1:8" x14ac:dyDescent="0.3">
      <c r="A46" s="2">
        <v>45</v>
      </c>
      <c r="B46" s="2" t="s">
        <v>12</v>
      </c>
      <c r="C46" s="3">
        <v>0.4</v>
      </c>
      <c r="D46" s="2">
        <v>8</v>
      </c>
      <c r="E46" s="4">
        <v>0.86804802212409704</v>
      </c>
      <c r="F46" s="4">
        <v>0.87847548170614898</v>
      </c>
      <c r="G46" s="4">
        <v>0.86804802212409704</v>
      </c>
      <c r="H46" s="4">
        <v>0.86299746169804004</v>
      </c>
    </row>
    <row r="47" spans="1:8" x14ac:dyDescent="0.3">
      <c r="A47" s="2">
        <v>46</v>
      </c>
      <c r="B47" s="2" t="s">
        <v>8</v>
      </c>
      <c r="C47" s="3">
        <v>0.4</v>
      </c>
      <c r="D47" s="2">
        <v>9</v>
      </c>
      <c r="E47" s="4">
        <v>0.86804993200812897</v>
      </c>
      <c r="F47" s="4">
        <v>0.87847260378340397</v>
      </c>
      <c r="G47" s="4">
        <v>0.86804993200812897</v>
      </c>
      <c r="H47" s="4">
        <v>0.86299821168681701</v>
      </c>
    </row>
    <row r="48" spans="1:8" x14ac:dyDescent="0.3">
      <c r="A48" s="2">
        <v>47</v>
      </c>
      <c r="B48" s="2" t="s">
        <v>9</v>
      </c>
      <c r="C48" s="3">
        <v>0.4</v>
      </c>
      <c r="D48" s="2">
        <v>9</v>
      </c>
      <c r="E48" s="4">
        <v>0.87747329982123501</v>
      </c>
      <c r="F48" s="4">
        <v>0.86210367914417696</v>
      </c>
      <c r="G48" s="4">
        <v>0.87747329982123501</v>
      </c>
      <c r="H48" s="4">
        <v>0.86442905777901702</v>
      </c>
    </row>
    <row r="49" spans="1:8" x14ac:dyDescent="0.3">
      <c r="A49" s="2">
        <v>48</v>
      </c>
      <c r="B49" s="2" t="s">
        <v>10</v>
      </c>
      <c r="C49" s="3">
        <v>0.4</v>
      </c>
      <c r="D49" s="2">
        <v>9</v>
      </c>
      <c r="E49" s="4">
        <v>0.86804993200812897</v>
      </c>
      <c r="F49" s="4">
        <v>0.87847260378340397</v>
      </c>
      <c r="G49" s="4">
        <v>0.86804993200812897</v>
      </c>
      <c r="H49" s="4">
        <v>0.86299821168681701</v>
      </c>
    </row>
    <row r="50" spans="1:8" x14ac:dyDescent="0.3">
      <c r="A50" s="2">
        <v>49</v>
      </c>
      <c r="B50" s="2" t="s">
        <v>11</v>
      </c>
      <c r="C50" s="3">
        <v>0.4</v>
      </c>
      <c r="D50" s="2">
        <v>9</v>
      </c>
      <c r="E50" s="4">
        <v>0.86804993200812897</v>
      </c>
      <c r="F50" s="4">
        <v>0.87847260378340397</v>
      </c>
      <c r="G50" s="4">
        <v>0.86804993200812897</v>
      </c>
      <c r="H50" s="4">
        <v>0.86299821168681701</v>
      </c>
    </row>
    <row r="51" spans="1:8" x14ac:dyDescent="0.3">
      <c r="A51" s="2">
        <v>50</v>
      </c>
      <c r="B51" s="2" t="s">
        <v>12</v>
      </c>
      <c r="C51" s="3">
        <v>0.4</v>
      </c>
      <c r="D51" s="2">
        <v>9</v>
      </c>
      <c r="E51" s="4">
        <v>0.86804993200812897</v>
      </c>
      <c r="F51" s="4">
        <v>0.87847260378340397</v>
      </c>
      <c r="G51" s="4">
        <v>0.86804993200812897</v>
      </c>
      <c r="H51" s="4">
        <v>0.86299821168681701</v>
      </c>
    </row>
    <row r="52" spans="1:8" x14ac:dyDescent="0.3">
      <c r="A52" s="2">
        <v>51</v>
      </c>
      <c r="B52" s="2" t="s">
        <v>8</v>
      </c>
      <c r="C52" s="3">
        <v>0.6</v>
      </c>
      <c r="D52" s="2">
        <v>2</v>
      </c>
      <c r="E52" s="4">
        <v>0.849318870824192</v>
      </c>
      <c r="F52" s="4">
        <v>0.87261794134956705</v>
      </c>
      <c r="G52" s="4">
        <v>0.849318870824192</v>
      </c>
      <c r="H52" s="4">
        <v>0.84969034592081905</v>
      </c>
    </row>
    <row r="53" spans="1:8" x14ac:dyDescent="0.3">
      <c r="A53" s="2">
        <v>52</v>
      </c>
      <c r="B53" s="2" t="s">
        <v>9</v>
      </c>
      <c r="C53" s="3">
        <v>0.6</v>
      </c>
      <c r="D53" s="2">
        <v>2</v>
      </c>
      <c r="E53" s="4">
        <v>0.87392712127906402</v>
      </c>
      <c r="F53" s="4">
        <v>0.84642761716536796</v>
      </c>
      <c r="G53" s="4">
        <v>0.87392712127906402</v>
      </c>
      <c r="H53" s="4">
        <v>0.85741516459137601</v>
      </c>
    </row>
    <row r="54" spans="1:8" x14ac:dyDescent="0.3">
      <c r="A54" s="2">
        <v>53</v>
      </c>
      <c r="B54" s="2" t="s">
        <v>10</v>
      </c>
      <c r="C54" s="3">
        <v>0.6</v>
      </c>
      <c r="D54" s="2">
        <v>2</v>
      </c>
      <c r="E54" s="4">
        <v>0.849318870824192</v>
      </c>
      <c r="F54" s="4">
        <v>0.87261794134956705</v>
      </c>
      <c r="G54" s="4">
        <v>0.849318870824192</v>
      </c>
      <c r="H54" s="4">
        <v>0.84969034592081905</v>
      </c>
    </row>
    <row r="55" spans="1:8" x14ac:dyDescent="0.3">
      <c r="A55" s="2">
        <v>54</v>
      </c>
      <c r="B55" s="2" t="s">
        <v>11</v>
      </c>
      <c r="C55" s="3">
        <v>0.6</v>
      </c>
      <c r="D55" s="2">
        <v>2</v>
      </c>
      <c r="E55" s="4">
        <v>0.849318870824192</v>
      </c>
      <c r="F55" s="4">
        <v>0.87261794134956705</v>
      </c>
      <c r="G55" s="4">
        <v>0.849318870824192</v>
      </c>
      <c r="H55" s="4">
        <v>0.84969034592081905</v>
      </c>
    </row>
    <row r="56" spans="1:8" x14ac:dyDescent="0.3">
      <c r="A56" s="2">
        <v>55</v>
      </c>
      <c r="B56" s="2" t="s">
        <v>12</v>
      </c>
      <c r="C56" s="3">
        <v>0.6</v>
      </c>
      <c r="D56" s="2">
        <v>2</v>
      </c>
      <c r="E56" s="4">
        <v>0.849318870824192</v>
      </c>
      <c r="F56" s="4">
        <v>0.87261794134956705</v>
      </c>
      <c r="G56" s="4">
        <v>0.849318870824192</v>
      </c>
      <c r="H56" s="4">
        <v>0.84969034592081905</v>
      </c>
    </row>
    <row r="57" spans="1:8" x14ac:dyDescent="0.3">
      <c r="A57" s="2">
        <v>56</v>
      </c>
      <c r="B57" s="2" t="s">
        <v>8</v>
      </c>
      <c r="C57" s="3">
        <v>0.6</v>
      </c>
      <c r="D57" s="2">
        <v>4</v>
      </c>
      <c r="E57" s="4">
        <v>0.84932141733947697</v>
      </c>
      <c r="F57" s="4">
        <v>0.87263146210190401</v>
      </c>
      <c r="G57" s="4">
        <v>0.84932141733947697</v>
      </c>
      <c r="H57" s="4">
        <v>0.84970130542354005</v>
      </c>
    </row>
    <row r="58" spans="1:8" x14ac:dyDescent="0.3">
      <c r="A58" s="2">
        <v>57</v>
      </c>
      <c r="B58" s="2" t="s">
        <v>9</v>
      </c>
      <c r="C58" s="3">
        <v>0.6</v>
      </c>
      <c r="D58" s="2">
        <v>4</v>
      </c>
      <c r="E58" s="4">
        <v>0.85348496983015998</v>
      </c>
      <c r="F58" s="4">
        <v>0.82598021329713101</v>
      </c>
      <c r="G58" s="4">
        <v>0.85348496983015998</v>
      </c>
      <c r="H58" s="4">
        <v>0.83902759738824095</v>
      </c>
    </row>
    <row r="59" spans="1:8" x14ac:dyDescent="0.3">
      <c r="A59" s="2">
        <v>58</v>
      </c>
      <c r="B59" s="2" t="s">
        <v>10</v>
      </c>
      <c r="C59" s="3">
        <v>0.6</v>
      </c>
      <c r="D59" s="2">
        <v>4</v>
      </c>
      <c r="E59" s="4">
        <v>0.84932141733947697</v>
      </c>
      <c r="F59" s="4">
        <v>0.87263146210190401</v>
      </c>
      <c r="G59" s="4">
        <v>0.84932141733947697</v>
      </c>
      <c r="H59" s="4">
        <v>0.84970130542354005</v>
      </c>
    </row>
    <row r="60" spans="1:8" x14ac:dyDescent="0.3">
      <c r="A60" s="2">
        <v>59</v>
      </c>
      <c r="B60" s="2" t="s">
        <v>11</v>
      </c>
      <c r="C60" s="3">
        <v>0.6</v>
      </c>
      <c r="D60" s="2">
        <v>4</v>
      </c>
      <c r="E60" s="4">
        <v>0.84932141733947697</v>
      </c>
      <c r="F60" s="4">
        <v>0.87263146210190401</v>
      </c>
      <c r="G60" s="4">
        <v>0.84932141733947697</v>
      </c>
      <c r="H60" s="4">
        <v>0.84970130542354005</v>
      </c>
    </row>
    <row r="61" spans="1:8" x14ac:dyDescent="0.3">
      <c r="A61" s="2">
        <v>60</v>
      </c>
      <c r="B61" s="2" t="s">
        <v>12</v>
      </c>
      <c r="C61" s="3">
        <v>0.6</v>
      </c>
      <c r="D61" s="2">
        <v>4</v>
      </c>
      <c r="E61" s="4">
        <v>0.84932141733947697</v>
      </c>
      <c r="F61" s="4">
        <v>0.87263146210190401</v>
      </c>
      <c r="G61" s="4">
        <v>0.84932141733947697</v>
      </c>
      <c r="H61" s="4">
        <v>0.84970130542354005</v>
      </c>
    </row>
    <row r="62" spans="1:8" x14ac:dyDescent="0.3">
      <c r="A62" s="2">
        <v>61</v>
      </c>
      <c r="B62" s="2" t="s">
        <v>8</v>
      </c>
      <c r="C62" s="3">
        <v>0.6</v>
      </c>
      <c r="D62" s="2">
        <v>6</v>
      </c>
      <c r="E62" s="4">
        <v>0.87315170737483605</v>
      </c>
      <c r="F62" s="4">
        <v>0.87893806000816299</v>
      </c>
      <c r="G62" s="4">
        <v>0.87315170737483605</v>
      </c>
      <c r="H62" s="4">
        <v>0.86709055763621801</v>
      </c>
    </row>
    <row r="63" spans="1:8" x14ac:dyDescent="0.3">
      <c r="A63" s="2">
        <v>62</v>
      </c>
      <c r="B63" s="2" t="s">
        <v>9</v>
      </c>
      <c r="C63" s="3">
        <v>0.6</v>
      </c>
      <c r="D63" s="2">
        <v>6</v>
      </c>
      <c r="E63" s="4">
        <v>0.87639724110534101</v>
      </c>
      <c r="F63" s="4">
        <v>0.85701480512998796</v>
      </c>
      <c r="G63" s="4">
        <v>0.87639724110534101</v>
      </c>
      <c r="H63" s="4">
        <v>0.86253108782218102</v>
      </c>
    </row>
    <row r="64" spans="1:8" x14ac:dyDescent="0.3">
      <c r="A64" s="2">
        <v>63</v>
      </c>
      <c r="B64" s="2" t="s">
        <v>10</v>
      </c>
      <c r="C64" s="3">
        <v>0.6</v>
      </c>
      <c r="D64" s="2">
        <v>6</v>
      </c>
      <c r="E64" s="4">
        <v>0.87315170737483605</v>
      </c>
      <c r="F64" s="4">
        <v>0.87893806000816299</v>
      </c>
      <c r="G64" s="4">
        <v>0.87315170737483605</v>
      </c>
      <c r="H64" s="4">
        <v>0.86709055763621801</v>
      </c>
    </row>
    <row r="65" spans="1:8" x14ac:dyDescent="0.3">
      <c r="A65" s="2">
        <v>64</v>
      </c>
      <c r="B65" s="2" t="s">
        <v>11</v>
      </c>
      <c r="C65" s="3">
        <v>0.6</v>
      </c>
      <c r="D65" s="2">
        <v>6</v>
      </c>
      <c r="E65" s="4">
        <v>0.87315170737483605</v>
      </c>
      <c r="F65" s="4">
        <v>0.87893806000816299</v>
      </c>
      <c r="G65" s="4">
        <v>0.87315170737483605</v>
      </c>
      <c r="H65" s="4">
        <v>0.86709055763621801</v>
      </c>
    </row>
    <row r="66" spans="1:8" x14ac:dyDescent="0.3">
      <c r="A66" s="2">
        <v>65</v>
      </c>
      <c r="B66" s="2" t="s">
        <v>12</v>
      </c>
      <c r="C66" s="3">
        <v>0.6</v>
      </c>
      <c r="D66" s="2">
        <v>6</v>
      </c>
      <c r="E66" s="4">
        <v>0.87315170737483605</v>
      </c>
      <c r="F66" s="4">
        <v>0.87893806000816299</v>
      </c>
      <c r="G66" s="4">
        <v>0.87315170737483605</v>
      </c>
      <c r="H66" s="4">
        <v>0.86709055763621801</v>
      </c>
    </row>
    <row r="67" spans="1:8" x14ac:dyDescent="0.3">
      <c r="A67" s="2">
        <v>66</v>
      </c>
      <c r="B67" s="2" t="s">
        <v>8</v>
      </c>
      <c r="C67" s="3">
        <v>0.6</v>
      </c>
      <c r="D67" s="2">
        <v>8</v>
      </c>
      <c r="E67" s="4">
        <v>0.86797082202786702</v>
      </c>
      <c r="F67" s="4">
        <v>0.87852702920856995</v>
      </c>
      <c r="G67" s="4">
        <v>0.86797082202786702</v>
      </c>
      <c r="H67" s="4">
        <v>0.86297309405155098</v>
      </c>
    </row>
    <row r="68" spans="1:8" x14ac:dyDescent="0.3">
      <c r="A68" s="2">
        <v>67</v>
      </c>
      <c r="B68" s="2" t="s">
        <v>9</v>
      </c>
      <c r="C68" s="3">
        <v>0.6</v>
      </c>
      <c r="D68" s="2">
        <v>8</v>
      </c>
      <c r="E68" s="4">
        <v>0.87717392826721097</v>
      </c>
      <c r="F68" s="4">
        <v>0.86142862523685704</v>
      </c>
      <c r="G68" s="4">
        <v>0.87717392826721097</v>
      </c>
      <c r="H68" s="4">
        <v>0.86411681649910199</v>
      </c>
    </row>
    <row r="69" spans="1:8" x14ac:dyDescent="0.3">
      <c r="A69" s="2">
        <v>68</v>
      </c>
      <c r="B69" s="2" t="s">
        <v>10</v>
      </c>
      <c r="C69" s="3">
        <v>0.6</v>
      </c>
      <c r="D69" s="2">
        <v>8</v>
      </c>
      <c r="E69" s="4">
        <v>0.86797082202786702</v>
      </c>
      <c r="F69" s="4">
        <v>0.87852702920856995</v>
      </c>
      <c r="G69" s="4">
        <v>0.86797082202786702</v>
      </c>
      <c r="H69" s="4">
        <v>0.86297309405155098</v>
      </c>
    </row>
    <row r="70" spans="1:8" x14ac:dyDescent="0.3">
      <c r="A70" s="2">
        <v>69</v>
      </c>
      <c r="B70" s="2" t="s">
        <v>11</v>
      </c>
      <c r="C70" s="3">
        <v>0.6</v>
      </c>
      <c r="D70" s="2">
        <v>8</v>
      </c>
      <c r="E70" s="4">
        <v>0.86797082202786702</v>
      </c>
      <c r="F70" s="4">
        <v>0.87852702920856995</v>
      </c>
      <c r="G70" s="4">
        <v>0.86797082202786702</v>
      </c>
      <c r="H70" s="4">
        <v>0.86297309405155098</v>
      </c>
    </row>
    <row r="71" spans="1:8" x14ac:dyDescent="0.3">
      <c r="A71" s="2">
        <v>70</v>
      </c>
      <c r="B71" s="2" t="s">
        <v>12</v>
      </c>
      <c r="C71" s="3">
        <v>0.6</v>
      </c>
      <c r="D71" s="2">
        <v>8</v>
      </c>
      <c r="E71" s="4">
        <v>0.86797082202786702</v>
      </c>
      <c r="F71" s="4">
        <v>0.87852702920856995</v>
      </c>
      <c r="G71" s="4">
        <v>0.86797082202786702</v>
      </c>
      <c r="H71" s="4">
        <v>0.86297309405155098</v>
      </c>
    </row>
    <row r="72" spans="1:8" x14ac:dyDescent="0.3">
      <c r="A72" s="2">
        <v>71</v>
      </c>
      <c r="B72" s="2" t="s">
        <v>8</v>
      </c>
      <c r="C72" s="3">
        <v>0.6</v>
      </c>
      <c r="D72" s="2">
        <v>9</v>
      </c>
      <c r="E72" s="4">
        <v>0.86797082202786702</v>
      </c>
      <c r="F72" s="4">
        <v>0.87852497559542597</v>
      </c>
      <c r="G72" s="4">
        <v>0.86797082202786702</v>
      </c>
      <c r="H72" s="4">
        <v>0.86297292414442806</v>
      </c>
    </row>
    <row r="73" spans="1:8" x14ac:dyDescent="0.3">
      <c r="A73" s="2">
        <v>72</v>
      </c>
      <c r="B73" s="2" t="s">
        <v>9</v>
      </c>
      <c r="C73" s="3">
        <v>0.6</v>
      </c>
      <c r="D73" s="2">
        <v>9</v>
      </c>
      <c r="E73" s="4">
        <v>0.87756609162107402</v>
      </c>
      <c r="F73" s="4">
        <v>0.86209631096968797</v>
      </c>
      <c r="G73" s="4">
        <v>0.87756609162107402</v>
      </c>
      <c r="H73" s="4">
        <v>0.86451135583384897</v>
      </c>
    </row>
    <row r="74" spans="1:8" x14ac:dyDescent="0.3">
      <c r="A74" s="2">
        <v>73</v>
      </c>
      <c r="B74" s="2" t="s">
        <v>10</v>
      </c>
      <c r="C74" s="3">
        <v>0.6</v>
      </c>
      <c r="D74" s="2">
        <v>9</v>
      </c>
      <c r="E74" s="4">
        <v>0.86797082202786702</v>
      </c>
      <c r="F74" s="4">
        <v>0.87852497559542597</v>
      </c>
      <c r="G74" s="4">
        <v>0.86797082202786702</v>
      </c>
      <c r="H74" s="4">
        <v>0.86297292414442806</v>
      </c>
    </row>
    <row r="75" spans="1:8" x14ac:dyDescent="0.3">
      <c r="A75" s="2">
        <v>74</v>
      </c>
      <c r="B75" s="2" t="s">
        <v>11</v>
      </c>
      <c r="C75" s="3">
        <v>0.6</v>
      </c>
      <c r="D75" s="2">
        <v>9</v>
      </c>
      <c r="E75" s="4">
        <v>0.86797082202786702</v>
      </c>
      <c r="F75" s="4">
        <v>0.87852497559542597</v>
      </c>
      <c r="G75" s="4">
        <v>0.86797082202786702</v>
      </c>
      <c r="H75" s="4">
        <v>0.86297292414442806</v>
      </c>
    </row>
    <row r="76" spans="1:8" x14ac:dyDescent="0.3">
      <c r="A76" s="2">
        <v>75</v>
      </c>
      <c r="B76" s="2" t="s">
        <v>12</v>
      </c>
      <c r="C76" s="3">
        <v>0.6</v>
      </c>
      <c r="D76" s="2">
        <v>9</v>
      </c>
      <c r="E76" s="4">
        <v>0.86797082202786702</v>
      </c>
      <c r="F76" s="4">
        <v>0.87852497559542597</v>
      </c>
      <c r="G76" s="4">
        <v>0.86797082202786702</v>
      </c>
      <c r="H76" s="4">
        <v>0.86297292414442806</v>
      </c>
    </row>
  </sheetData>
  <autoFilter ref="A1:H76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20" customWidth="1"/>
    <col min="2" max="3" width="14" customWidth="1"/>
    <col min="4" max="4" width="12" customWidth="1"/>
    <col min="5" max="6" width="14" customWidth="1"/>
    <col min="7" max="7" width="15" customWidth="1"/>
  </cols>
  <sheetData>
    <row r="1" spans="1:7" x14ac:dyDescent="0.3">
      <c r="A1" s="1" t="s">
        <v>1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</row>
    <row r="2" spans="1:7" x14ac:dyDescent="0.3">
      <c r="A2" s="2" t="s">
        <v>8</v>
      </c>
      <c r="B2" s="4">
        <f>AVERAGEIF(Results!$B$2:$B$76,A2,Results!$E$2:$E$76)</f>
        <v>0.84549825969106063</v>
      </c>
      <c r="C2" s="4">
        <f>AVERAGEIF(Results!$B$2:$B$76,A2,Results!$F$2:$F$76)</f>
        <v>0.87223375121323454</v>
      </c>
      <c r="D2" s="4">
        <f>AVERAGEIF(Results!$B$2:$B$76,A2,Results!$G$2:$G$76)</f>
        <v>0.84549825969106063</v>
      </c>
      <c r="E2" s="4">
        <f>AVERAGEIF(Results!$B$2:$B$76,A2,Results!$H$2:$H$76)</f>
        <v>0.84518702558402004</v>
      </c>
      <c r="F2" s="2">
        <f>_xlfn.MAXIFS(Results!$E$2:$E$76,Results!$B$2:$B$76,A2)</f>
        <v>0.87328683402343799</v>
      </c>
      <c r="G2" s="2">
        <f>COUNTIF(Results!$B$2:$B$76,A2)</f>
        <v>15</v>
      </c>
    </row>
    <row r="3" spans="1:7" x14ac:dyDescent="0.3">
      <c r="A3" s="2" t="s">
        <v>9</v>
      </c>
      <c r="B3" s="4">
        <f>AVERAGEIF(Results!$B$2:$B$76,A3,Results!$E$2:$E$76)</f>
        <v>0.86120803632933485</v>
      </c>
      <c r="C3" s="4">
        <f>AVERAGEIF(Results!$B$2:$B$76,A3,Results!$F$2:$F$76)</f>
        <v>0.84298395633158796</v>
      </c>
      <c r="D3" s="4">
        <f>AVERAGEIF(Results!$B$2:$B$76,A3,Results!$G$2:$G$76)</f>
        <v>0.86120803632933485</v>
      </c>
      <c r="E3" s="4">
        <f>AVERAGEIF(Results!$B$2:$B$76,A3,Results!$H$2:$H$76)</f>
        <v>0.84862776834277553</v>
      </c>
      <c r="F3" s="2">
        <f>_xlfn.MAXIFS(Results!$E$2:$E$76,Results!$B$2:$B$76,A3)</f>
        <v>0.87805390456691501</v>
      </c>
      <c r="G3" s="2">
        <f>COUNTIF(Results!$B$2:$B$76,A3)</f>
        <v>15</v>
      </c>
    </row>
    <row r="4" spans="1:7" x14ac:dyDescent="0.3">
      <c r="A4" s="2" t="s">
        <v>10</v>
      </c>
      <c r="B4" s="4">
        <f>AVERAGEIF(Results!$B$2:$B$76,A4,Results!$E$2:$E$76)</f>
        <v>0.84549825969106063</v>
      </c>
      <c r="C4" s="4">
        <f>AVERAGEIF(Results!$B$2:$B$76,A4,Results!$F$2:$F$76)</f>
        <v>0.87223375121323454</v>
      </c>
      <c r="D4" s="4">
        <f>AVERAGEIF(Results!$B$2:$B$76,A4,Results!$G$2:$G$76)</f>
        <v>0.84549825969106063</v>
      </c>
      <c r="E4" s="4">
        <f>AVERAGEIF(Results!$B$2:$B$76,A4,Results!$H$2:$H$76)</f>
        <v>0.84518702558402004</v>
      </c>
      <c r="F4" s="2">
        <f>_xlfn.MAXIFS(Results!$E$2:$E$76,Results!$B$2:$B$76,A4)</f>
        <v>0.87328683402343799</v>
      </c>
      <c r="G4" s="2">
        <f>COUNTIF(Results!$B$2:$B$76,A4)</f>
        <v>15</v>
      </c>
    </row>
    <row r="5" spans="1:7" x14ac:dyDescent="0.3">
      <c r="A5" s="2" t="s">
        <v>11</v>
      </c>
      <c r="B5" s="4">
        <f>AVERAGEIF(Results!$B$2:$B$76,A5,Results!$E$2:$E$76)</f>
        <v>0.84549825969106063</v>
      </c>
      <c r="C5" s="4">
        <f>AVERAGEIF(Results!$B$2:$B$76,A5,Results!$F$2:$F$76)</f>
        <v>0.87223375121323454</v>
      </c>
      <c r="D5" s="4">
        <f>AVERAGEIF(Results!$B$2:$B$76,A5,Results!$G$2:$G$76)</f>
        <v>0.84549825969106063</v>
      </c>
      <c r="E5" s="4">
        <f>AVERAGEIF(Results!$B$2:$B$76,A5,Results!$H$2:$H$76)</f>
        <v>0.84518702558402004</v>
      </c>
      <c r="F5" s="2">
        <f>_xlfn.MAXIFS(Results!$E$2:$E$76,Results!$B$2:$B$76,A5)</f>
        <v>0.87328683402343799</v>
      </c>
      <c r="G5" s="2">
        <f>COUNTIF(Results!$B$2:$B$76,A5)</f>
        <v>15</v>
      </c>
    </row>
    <row r="6" spans="1:7" x14ac:dyDescent="0.3">
      <c r="A6" s="2" t="s">
        <v>12</v>
      </c>
      <c r="B6" s="4">
        <f>AVERAGEIF(Results!$B$2:$B$76,A6,Results!$E$2:$E$76)</f>
        <v>0.84549825969106063</v>
      </c>
      <c r="C6" s="4">
        <f>AVERAGEIF(Results!$B$2:$B$76,A6,Results!$F$2:$F$76)</f>
        <v>0.87223375121323454</v>
      </c>
      <c r="D6" s="4">
        <f>AVERAGEIF(Results!$B$2:$B$76,A6,Results!$G$2:$G$76)</f>
        <v>0.84549825969106063</v>
      </c>
      <c r="E6" s="4">
        <f>AVERAGEIF(Results!$B$2:$B$76,A6,Results!$H$2:$H$76)</f>
        <v>0.84518702558402004</v>
      </c>
      <c r="F6" s="2">
        <f>_xlfn.MAXIFS(Results!$E$2:$E$76,Results!$B$2:$B$76,A6)</f>
        <v>0.87328683402343799</v>
      </c>
      <c r="G6" s="2">
        <f>COUNTIF(Results!$B$2:$B$76,A6)</f>
        <v>15</v>
      </c>
    </row>
    <row r="8" spans="1:7" x14ac:dyDescent="0.3">
      <c r="A8" s="5" t="s">
        <v>19</v>
      </c>
      <c r="B8" s="5" t="str">
        <f>INDEX(A2:A6,MATCH(MAX(B2:B6),B2:B6,0))</f>
        <v>Logistic Regression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6" customWidth="1"/>
    <col min="2" max="3" width="14" customWidth="1"/>
    <col min="4" max="4" width="12" customWidth="1"/>
    <col min="5" max="5" width="14" customWidth="1"/>
  </cols>
  <sheetData>
    <row r="1" spans="1:5" x14ac:dyDescent="0.3">
      <c r="A1" s="1" t="s">
        <v>3</v>
      </c>
      <c r="B1" s="1" t="s">
        <v>13</v>
      </c>
      <c r="C1" s="1" t="s">
        <v>14</v>
      </c>
      <c r="D1" s="1" t="s">
        <v>15</v>
      </c>
      <c r="E1" s="1" t="s">
        <v>16</v>
      </c>
    </row>
    <row r="2" spans="1:5" x14ac:dyDescent="0.3">
      <c r="A2" s="6">
        <v>2</v>
      </c>
      <c r="B2" s="4">
        <f>AVERAGEIF(Results!$D$2:$D$76,A2,Results!$E$2:$E$76)</f>
        <v>0.7792955219757709</v>
      </c>
      <c r="C2" s="4">
        <f>AVERAGEIF(Results!$D$2:$D$76,A2,Results!$F$2:$F$76)</f>
        <v>0.8432720128248623</v>
      </c>
      <c r="D2" s="4">
        <f>AVERAGEIF(Results!$D$2:$D$76,A2,Results!$G$2:$G$76)</f>
        <v>0.7792955219757709</v>
      </c>
      <c r="E2" s="4">
        <f>AVERAGEIF(Results!$D$2:$D$76,A2,Results!$H$2:$H$76)</f>
        <v>0.78868325417108465</v>
      </c>
    </row>
    <row r="3" spans="1:5" x14ac:dyDescent="0.3">
      <c r="A3" s="6">
        <v>4</v>
      </c>
      <c r="B3" s="4">
        <f>AVERAGEIF(Results!$D$2:$D$76,A3,Results!$E$2:$E$76)</f>
        <v>0.85017666433835981</v>
      </c>
      <c r="C3" s="4">
        <f>AVERAGEIF(Results!$D$2:$D$76,A3,Results!$F$2:$F$76)</f>
        <v>0.86339152283083398</v>
      </c>
      <c r="D3" s="4">
        <f>AVERAGEIF(Results!$D$2:$D$76,A3,Results!$G$2:$G$76)</f>
        <v>0.85017666433835981</v>
      </c>
      <c r="E3" s="4">
        <f>AVERAGEIF(Results!$D$2:$D$76,A3,Results!$H$2:$H$76)</f>
        <v>0.84763661955385161</v>
      </c>
    </row>
    <row r="4" spans="1:5" x14ac:dyDescent="0.3">
      <c r="A4" s="6">
        <v>6</v>
      </c>
      <c r="B4" s="4">
        <f>AVERAGEIF(Results!$D$2:$D$76,A4,Results!$E$2:$E$76)</f>
        <v>0.8738389915985536</v>
      </c>
      <c r="C4" s="4">
        <f>AVERAGEIF(Results!$D$2:$D$76,A4,Results!$F$2:$F$76)</f>
        <v>0.87467606290586586</v>
      </c>
      <c r="D4" s="4">
        <f>AVERAGEIF(Results!$D$2:$D$76,A4,Results!$G$2:$G$76)</f>
        <v>0.8738389915985536</v>
      </c>
      <c r="E4" s="4">
        <f>AVERAGEIF(Results!$D$2:$D$76,A4,Results!$H$2:$H$76)</f>
        <v>0.86626804029254878</v>
      </c>
    </row>
    <row r="5" spans="1:5" x14ac:dyDescent="0.3">
      <c r="A5" s="6">
        <v>8</v>
      </c>
      <c r="B5" s="4">
        <f>AVERAGEIF(Results!$D$2:$D$76,A5,Results!$E$2:$E$76)</f>
        <v>0.86989788054288442</v>
      </c>
      <c r="C5" s="4">
        <f>AVERAGEIF(Results!$D$2:$D$76,A5,Results!$F$2:$F$76)</f>
        <v>0.87521966284041564</v>
      </c>
      <c r="D5" s="4">
        <f>AVERAGEIF(Results!$D$2:$D$76,A5,Results!$G$2:$G$76)</f>
        <v>0.86989788054288442</v>
      </c>
      <c r="E5" s="4">
        <f>AVERAGEIF(Results!$D$2:$D$76,A5,Results!$H$2:$H$76)</f>
        <v>0.86334962700853468</v>
      </c>
    </row>
    <row r="6" spans="1:5" x14ac:dyDescent="0.3">
      <c r="A6" s="6">
        <v>9</v>
      </c>
      <c r="B6" s="4">
        <f>AVERAGEIF(Results!$D$2:$D$76,A6,Results!$E$2:$E$76)</f>
        <v>0.86999201663800851</v>
      </c>
      <c r="C6" s="4">
        <f>AVERAGEIF(Results!$D$2:$D$76,A6,Results!$F$2:$F$76)</f>
        <v>0.87535969978254813</v>
      </c>
      <c r="D6" s="4">
        <f>AVERAGEIF(Results!$D$2:$D$76,A6,Results!$G$2:$G$76)</f>
        <v>0.86999201663800851</v>
      </c>
      <c r="E6" s="4">
        <f>AVERAGEIF(Results!$D$2:$D$76,A6,Results!$H$2:$H$76)</f>
        <v>0.86343832965283618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Results</vt:lpstr>
      <vt:lpstr>Summary by Algorithm</vt:lpstr>
      <vt:lpstr>Summary by PCA Components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bibhash raut</cp:lastModifiedBy>
  <cp:revision>1</cp:revision>
  <dcterms:created xsi:type="dcterms:W3CDTF">2026-09-16T18:49:30Z</dcterms:created>
  <dcterms:modified xsi:type="dcterms:W3CDTF">2026-09-16T18:52:42Z</dcterms:modified>
  <dc:language>en-US</dc:language>
</cp:coreProperties>
</file>